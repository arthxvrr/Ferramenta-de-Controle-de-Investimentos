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Educação\Curso de Excel com IA\"/>
    </mc:Choice>
  </mc:AlternateContent>
  <xr:revisionPtr revIDLastSave="0" documentId="13_ncr:1_{68920815-4AE5-40AF-883E-CB2126FC3BBD}" xr6:coauthVersionLast="47" xr6:coauthVersionMax="47" xr10:uidLastSave="{00000000-0000-0000-0000-000000000000}"/>
  <bookViews>
    <workbookView xWindow="-120" yWindow="-120" windowWidth="20730" windowHeight="11040" tabRatio="347" xr2:uid="{611CAA0B-B4AC-4BB7-B748-A78B7CFB7F8B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7" i="1"/>
  <c r="C38" i="1"/>
  <c r="D38" i="1" s="1"/>
  <c r="C39" i="1"/>
  <c r="C40" i="1"/>
  <c r="D40" i="1" s="1"/>
  <c r="C41" i="1"/>
  <c r="D41" i="1" s="1"/>
  <c r="C36" i="1"/>
  <c r="D36" i="1" s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37" i="1"/>
  <c r="D20" i="1"/>
  <c r="D21" i="1" s="1"/>
  <c r="C26" i="1"/>
  <c r="D26" i="1" s="1"/>
  <c r="C25" i="1"/>
  <c r="D25" i="1" s="1"/>
  <c r="C27" i="1"/>
  <c r="D27" i="1" s="1"/>
  <c r="C28" i="1"/>
  <c r="D28" i="1" s="1"/>
  <c r="C24" i="1"/>
  <c r="D24" i="1" s="1"/>
  <c r="D39" i="1" l="1"/>
  <c r="D42" i="1" s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<sst xmlns="http://schemas.openxmlformats.org/spreadsheetml/2006/main" count="71" uniqueCount="35">
  <si>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</si>
  <si>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 investir?</t>
  </si>
  <si>
    <t>Taxa de rendimento mensal?</t>
  </si>
  <si>
    <t>Dividendos mensais?</t>
  </si>
  <si>
    <t>INVESTIMENTO MENSAL</t>
  </si>
  <si>
    <t>Patrimônio acumulado?</t>
  </si>
  <si>
    <t>Quanto em 2 anos?</t>
  </si>
  <si>
    <t>Quanto em 5 anos?</t>
  </si>
  <si>
    <t>Quanto em 10 anos?</t>
  </si>
  <si>
    <t>Quanto em 20 anos?</t>
  </si>
  <si>
    <t>CENÁRIOS</t>
  </si>
  <si>
    <t>DIVIDENDOS</t>
  </si>
  <si>
    <t>Salário</t>
  </si>
  <si>
    <t>Rendimento Carteira</t>
  </si>
  <si>
    <t>Sugestão de Investimento</t>
  </si>
  <si>
    <t>Quanto em 30 anos?</t>
  </si>
  <si>
    <t>CONFIGURAÇÕES</t>
  </si>
  <si>
    <t>Perfil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</si>
  <si>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</si>
  <si>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</si>
  <si>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</si>
  <si>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</si>
  <si>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</si>
  <si>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</si>
  <si>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</si>
  <si>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</si>
  <si>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FOFs</t>
  </si>
  <si>
    <t>DESENVOLVIMENTO</t>
  </si>
  <si>
    <t>HÍBRIDOS</t>
  </si>
  <si>
    <t>HOTELARIAS</t>
  </si>
  <si>
    <t>PERFIL</t>
  </si>
  <si>
    <t>%</t>
  </si>
  <si>
    <t>CHAVE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</si>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</sst>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Segoe UI Semibold"/>
      <family val="2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rgb="FF9C57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2" fillId="8" borderId="0" applyNumberFormat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0" fillId="4" borderId="0" xfId="0" applyFill="1"/>
    <xf numFmtId="0" fontId="0" fillId="0" borderId="0" xfId="0" applyAlignment="1">
      <alignment horizontal="center"/>
    </xf>
    <xf numFmtId="0" fontId="5" fillId="0" borderId="0" xfId="0" applyFont="1"/>
    <xf numFmtId="0" fontId="2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/>
    </xf>
    <xf numFmtId="10" fontId="9" fillId="0" borderId="4" xfId="0" applyNumberFormat="1" applyFont="1" applyBorder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0" fontId="8" fillId="0" borderId="21" xfId="0" applyFont="1" applyBorder="1"/>
    <xf numFmtId="164" fontId="9" fillId="0" borderId="22" xfId="0" applyNumberFormat="1" applyFont="1" applyBorder="1" applyAlignment="1">
      <alignment horizontal="center"/>
    </xf>
    <xf numFmtId="0" fontId="8" fillId="0" borderId="3" xfId="0" applyFont="1" applyBorder="1"/>
    <xf numFmtId="164" fontId="9" fillId="0" borderId="23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0" fontId="8" fillId="4" borderId="3" xfId="0" applyFont="1" applyFill="1" applyBorder="1"/>
    <xf numFmtId="0" fontId="8" fillId="4" borderId="5" xfId="0" applyFont="1" applyFill="1" applyBorder="1"/>
    <xf numFmtId="164" fontId="9" fillId="0" borderId="24" xfId="0" applyNumberFormat="1" applyFont="1" applyBorder="1" applyAlignment="1">
      <alignment horizontal="center"/>
    </xf>
    <xf numFmtId="164" fontId="9" fillId="7" borderId="6" xfId="0" applyNumberFormat="1" applyFont="1" applyFill="1" applyBorder="1" applyAlignment="1">
      <alignment horizontal="center"/>
    </xf>
    <xf numFmtId="164" fontId="10" fillId="7" borderId="4" xfId="0" applyNumberFormat="1" applyFont="1" applyFill="1" applyBorder="1" applyAlignment="1">
      <alignment horizontal="center"/>
    </xf>
    <xf numFmtId="1" fontId="10" fillId="7" borderId="4" xfId="0" applyNumberFormat="1" applyFont="1" applyFill="1" applyBorder="1" applyAlignment="1">
      <alignment horizontal="center"/>
    </xf>
    <xf numFmtId="10" fontId="10" fillId="7" borderId="4" xfId="1" applyNumberFormat="1" applyFont="1" applyFill="1" applyBorder="1" applyAlignment="1">
      <alignment horizontal="center"/>
    </xf>
    <xf numFmtId="8" fontId="10" fillId="7" borderId="4" xfId="0" applyNumberFormat="1" applyFont="1" applyFill="1" applyBorder="1" applyAlignment="1">
      <alignment horizontal="center"/>
    </xf>
    <xf numFmtId="8" fontId="10" fillId="7" borderId="6" xfId="0" applyNumberFormat="1" applyFont="1" applyFill="1" applyBorder="1" applyAlignment="1">
      <alignment horizontal="center"/>
    </xf>
    <xf numFmtId="0" fontId="8" fillId="6" borderId="14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left"/>
    </xf>
    <xf numFmtId="0" fontId="8" fillId="6" borderId="16" xfId="0" applyFont="1" applyFill="1" applyBorder="1" applyAlignment="1">
      <alignment horizontal="left"/>
    </xf>
    <xf numFmtId="0" fontId="8" fillId="6" borderId="17" xfId="0" applyFont="1" applyFill="1" applyBorder="1" applyAlignment="1">
      <alignment horizontal="left"/>
    </xf>
    <xf numFmtId="0" fontId="8" fillId="6" borderId="18" xfId="0" applyFont="1" applyFill="1" applyBorder="1" applyAlignment="1">
      <alignment horizontal="left"/>
    </xf>
    <xf numFmtId="0" fontId="8" fillId="6" borderId="19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0" fontId="11" fillId="3" borderId="13" xfId="0" applyFont="1" applyFill="1" applyBorder="1" applyAlignment="1">
      <alignment horizontal="left"/>
    </xf>
    <xf numFmtId="0" fontId="11" fillId="3" borderId="9" xfId="0" applyFont="1" applyFill="1" applyBorder="1" applyAlignment="1">
      <alignment horizontal="left"/>
    </xf>
    <xf numFmtId="0" fontId="11" fillId="3" borderId="20" xfId="0" applyFont="1" applyFill="1" applyBorder="1" applyAlignment="1">
      <alignment horizontal="left"/>
    </xf>
    <xf numFmtId="0" fontId="12" fillId="8" borderId="0" xfId="2"/>
    <xf numFmtId="0" fontId="12" fillId="8" borderId="0" xfId="2" applyAlignment="1"/>
    <xf numFmtId="164" fontId="1" fillId="0" borderId="0" xfId="0" applyNumberFormat="1" applyFont="1" applyAlignment="1">
      <alignment horizontal="center"/>
    </xf>
    <xf numFmtId="0" fontId="1" fillId="9" borderId="0" xfId="0" applyFont="1" applyFill="1" applyAlignment="1">
      <alignment horizontal="center"/>
    </xf>
    <xf numFmtId="0" fontId="1" fillId="9" borderId="0" xfId="0" applyFont="1" applyFill="1"/>
    <xf numFmtId="164" fontId="1" fillId="9" borderId="0" xfId="0" applyNumberFormat="1" applyFont="1" applyFill="1"/>
    <xf numFmtId="9" fontId="0" fillId="0" borderId="0" xfId="0" applyNumberFormat="1" applyAlignment="1">
      <alignment horizontal="center"/>
    </xf>
    <xf numFmtId="164" fontId="0" fillId="3" borderId="0" xfId="0" applyNumberFormat="1" applyFill="1"/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9" fontId="12" fillId="8" borderId="0" xfId="1" applyFont="1" applyFill="1"/>
    <xf numFmtId="0" fontId="5" fillId="10" borderId="0" xfId="0" applyFont="1" applyFill="1"/>
    <xf numFmtId="0" fontId="5" fillId="10" borderId="0" xfId="0" applyFont="1" applyFill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A-49A0-99B1-EFA4B639944F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APP!$D$36:$D$41</c:f>
              <c:numCache>
                <c:formatCode>"R$"\ #,##0.00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A-49A0-99B1-EFA4B63994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371475</xdr:colOff>
      <xdr:row>0</xdr:row>
      <xdr:rowOff>104775</xdr:rowOff>
    </xdr:from>
    <xdr:to>
      <xdr:col>6</xdr:col>
      <xdr:colOff>352425</xdr:colOff>
      <xdr:row>9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F554BE-1760-131E-9E01-067A0DD6E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4775"/>
          <a:ext cx="7210425" cy="166687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42</xdr:row>
      <xdr:rowOff>61912</xdr:rowOff>
    </xdr:from>
    <xdr:to>
      <xdr:col>4</xdr:col>
      <xdr:colOff>19050</xdr:colOff>
      <xdr:row>55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BF3B44-F07E-99BE-D34E-AFDE63C6F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44B1-A9C9-48E1-953F-E9AA5F2111B7}">
  <dimension ref="A10:XFC65"/>
  <sheetViews>
    <sheetView showGridLines="0" tabSelected="1" topLeftCell="A7" workbookViewId="0">
      <selection activeCell="G45" sqref="G45"/>
    </sheetView>
  </sheetViews>
  <sheetFormatPr defaultColWidth="0" defaultRowHeight="15" x14ac:dyDescent="0.25"/>
  <cols>
    <col min="1" max="1" width="9.140625" customWidth="1"/>
    <col min="2" max="2" width="40.85546875" bestFit="1" customWidth="1"/>
    <col min="3" max="3" width="19.42578125" bestFit="1" customWidth="1"/>
    <col min="4" max="4" width="16.140625" bestFit="1" customWidth="1"/>
    <col min="5" max="6" width="3.42578125" customWidth="1"/>
    <col min="7" max="7" width="14.7109375" customWidth="1"/>
    <col min="8" max="8" width="9.140625" hidden="1" customWidth="1"/>
    <col min="9" max="9" width="14.28515625" hidden="1" customWidth="1"/>
    <col min="10" max="11" width="9.140625" hidden="1" customWidth="1"/>
    <col min="12" max="16383" width="9.140625" hidden="1"/>
    <col min="16384" max="16384" width="12.28515625" hidden="1" customWidth="1"/>
  </cols>
  <sheetData>
    <row r="10" spans="2:4" ht="15.75" thickBot="1" x14ac:dyDescent="0.3"/>
    <row r="11" spans="2:4" ht="26.25" x14ac:dyDescent="0.25">
      <c r="B11" s="30" t="s">
        <v>16</v>
      </c>
      <c r="C11" s="31"/>
      <c r="D11" s="32"/>
    </row>
    <row r="12" spans="2:4" ht="17.25" x14ac:dyDescent="0.3">
      <c r="B12" s="24" t="s">
        <v>12</v>
      </c>
      <c r="C12" s="25"/>
      <c r="D12" s="7">
        <v>4200</v>
      </c>
    </row>
    <row r="13" spans="2:4" ht="17.25" x14ac:dyDescent="0.3">
      <c r="B13" s="26" t="s">
        <v>13</v>
      </c>
      <c r="C13" s="27"/>
      <c r="D13" s="8">
        <v>6.0000000000000001E-3</v>
      </c>
    </row>
    <row r="14" spans="2:4" ht="18" thickBot="1" x14ac:dyDescent="0.35">
      <c r="B14" s="28" t="s">
        <v>14</v>
      </c>
      <c r="C14" s="29"/>
      <c r="D14" s="18">
        <f>salario* 30%</f>
        <v>1260</v>
      </c>
    </row>
    <row r="15" spans="2:4" ht="15.75" thickBot="1" x14ac:dyDescent="0.3"/>
    <row r="16" spans="2:4" ht="33.75" customHeight="1" x14ac:dyDescent="0.25">
      <c r="B16" s="33" t="s">
        <v>4</v>
      </c>
      <c r="C16" s="34"/>
      <c r="D16" s="5"/>
    </row>
    <row r="17" spans="1:9" ht="17.25" x14ac:dyDescent="0.3">
      <c r="B17" s="37" t="s">
        <v>0</v>
      </c>
      <c r="C17" s="38"/>
      <c r="D17" s="19">
        <v>1260</v>
      </c>
    </row>
    <row r="18" spans="1:9" ht="17.25" x14ac:dyDescent="0.3">
      <c r="B18" s="39" t="s">
        <v>1</v>
      </c>
      <c r="C18" s="40"/>
      <c r="D18" s="20">
        <v>10</v>
      </c>
      <c r="G18" s="1"/>
    </row>
    <row r="19" spans="1:9" ht="17.25" x14ac:dyDescent="0.3">
      <c r="B19" s="39" t="s">
        <v>2</v>
      </c>
      <c r="C19" s="40"/>
      <c r="D19" s="21">
        <v>1.0789999999999999E-2</v>
      </c>
    </row>
    <row r="20" spans="1:9" ht="17.25" x14ac:dyDescent="0.3">
      <c r="B20" s="41" t="s">
        <v>5</v>
      </c>
      <c r="C20" s="42"/>
      <c r="D20" s="22">
        <f>FV(taxa,qtd_anos*12,aporte*-1)</f>
        <v>306538.10778801696</v>
      </c>
    </row>
    <row r="21" spans="1:9" ht="18" thickBot="1" x14ac:dyDescent="0.35">
      <c r="B21" s="43" t="s">
        <v>3</v>
      </c>
      <c r="C21" s="44"/>
      <c r="D21" s="23">
        <f>patrimonio*rendimento_carteira</f>
        <v>1839.2286467281017</v>
      </c>
    </row>
    <row r="22" spans="1:9" ht="15.75" thickBot="1" x14ac:dyDescent="0.3"/>
    <row r="23" spans="1:9" ht="30.75" x14ac:dyDescent="0.25">
      <c r="B23" s="35" t="s">
        <v>10</v>
      </c>
      <c r="C23" s="36"/>
      <c r="D23" s="6" t="s">
        <v>11</v>
      </c>
    </row>
    <row r="24" spans="1:9" ht="17.25" x14ac:dyDescent="0.3">
      <c r="A24" s="4">
        <v>2</v>
      </c>
      <c r="B24" s="10" t="s">
        <v>6</v>
      </c>
      <c r="C24" s="11">
        <f>FV($D$19,$A24*12,$D$17*-1)</f>
        <v>34306.810395032975</v>
      </c>
      <c r="D24" s="7">
        <f>C24*rendimento_carteira</f>
        <v>205.84086237019787</v>
      </c>
      <c r="F24" s="3"/>
      <c r="I24" s="2"/>
    </row>
    <row r="25" spans="1:9" ht="17.25" x14ac:dyDescent="0.3">
      <c r="A25" s="4">
        <v>5</v>
      </c>
      <c r="B25" s="12" t="s">
        <v>7</v>
      </c>
      <c r="C25" s="13">
        <f>FV($D$19,$A25*12,$D$17*-1)</f>
        <v>105558.91163809443</v>
      </c>
      <c r="D25" s="14">
        <f>C25*rendimento_carteira</f>
        <v>633.35346982856663</v>
      </c>
      <c r="F25" s="3"/>
      <c r="I25" s="2"/>
    </row>
    <row r="26" spans="1:9" ht="17.25" x14ac:dyDescent="0.3">
      <c r="A26" s="4">
        <v>10</v>
      </c>
      <c r="B26" s="12" t="s">
        <v>8</v>
      </c>
      <c r="C26" s="13">
        <f>FV($D$19,$A26*12,$D$17*-1)</f>
        <v>306538.10778801696</v>
      </c>
      <c r="D26" s="14">
        <f>C26*rendimento_carteira</f>
        <v>1839.2286467281017</v>
      </c>
      <c r="F26" s="3"/>
    </row>
    <row r="27" spans="1:9" ht="17.25" x14ac:dyDescent="0.3">
      <c r="A27" s="4">
        <v>20</v>
      </c>
      <c r="B27" s="15" t="s">
        <v>9</v>
      </c>
      <c r="C27" s="13">
        <f>FV($D$19,$A27*12,$D$17*-1)</f>
        <v>1417749.9841223215</v>
      </c>
      <c r="D27" s="14">
        <f>C27*rendimento_carteira</f>
        <v>8506.4999047339297</v>
      </c>
      <c r="F27" s="3"/>
    </row>
    <row r="28" spans="1:9" ht="18" thickBot="1" x14ac:dyDescent="0.35">
      <c r="A28" s="4">
        <v>30</v>
      </c>
      <c r="B28" s="16" t="s">
        <v>15</v>
      </c>
      <c r="C28" s="17">
        <f>FV($D$19,$A28*12,$D$17*-1)</f>
        <v>5445933.7653059401</v>
      </c>
      <c r="D28" s="9">
        <f>C28*rendimento_carteira</f>
        <v>32675.602591835643</v>
      </c>
      <c r="F28" s="3"/>
    </row>
    <row r="32" spans="1:9" x14ac:dyDescent="0.25">
      <c r="B32" s="45" t="s">
        <v>17</v>
      </c>
      <c r="C32" s="46" t="s">
        <v>18</v>
      </c>
      <c r="D32" s="45"/>
    </row>
    <row r="33" spans="2:4" x14ac:dyDescent="0.25">
      <c r="B33" s="1" t="s">
        <v>20</v>
      </c>
      <c r="C33" s="47">
        <v>200</v>
      </c>
    </row>
    <row r="35" spans="2:4" x14ac:dyDescent="0.25">
      <c r="B35" s="48" t="s">
        <v>21</v>
      </c>
      <c r="C35" s="49" t="s">
        <v>22</v>
      </c>
      <c r="D35" s="49" t="s">
        <v>23</v>
      </c>
    </row>
    <row r="36" spans="2:4" x14ac:dyDescent="0.25">
      <c r="B36" s="3" t="s">
        <v>24</v>
      </c>
      <c r="C36" s="51">
        <f>VLOOKUP($C$32&amp;"-"&amp;B36,Planilha2!$A:$D,4,0)</f>
        <v>0.32</v>
      </c>
      <c r="D36" s="52">
        <f>C36*$C$33</f>
        <v>64</v>
      </c>
    </row>
    <row r="37" spans="2:4" x14ac:dyDescent="0.25">
      <c r="B37" s="3" t="s">
        <v>25</v>
      </c>
      <c r="C37" s="51">
        <f>VLOOKUP($C$32&amp;"-"&amp;B37,Planilha2!$A:$D,4,0)</f>
        <v>0.35</v>
      </c>
      <c r="D37" s="52">
        <f>C37*$C$33</f>
        <v>70</v>
      </c>
    </row>
    <row r="38" spans="2:4" x14ac:dyDescent="0.25">
      <c r="B38" s="3" t="s">
        <v>28</v>
      </c>
      <c r="C38" s="51">
        <f>VLOOKUP($C$32&amp;"-"&amp;B38,Planilha2!$A:$D,4,0)</f>
        <v>0.08</v>
      </c>
      <c r="D38" s="52">
        <f>C38*$C$33</f>
        <v>16</v>
      </c>
    </row>
    <row r="39" spans="2:4" x14ac:dyDescent="0.25">
      <c r="B39" s="3" t="s">
        <v>26</v>
      </c>
      <c r="C39" s="51">
        <f>VLOOKUP($C$32&amp;"-"&amp;B39,Planilha2!$A:$D,4,0)</f>
        <v>0.05</v>
      </c>
      <c r="D39" s="52">
        <f>C39*$C$33</f>
        <v>10</v>
      </c>
    </row>
    <row r="40" spans="2:4" x14ac:dyDescent="0.25">
      <c r="B40" s="3" t="s">
        <v>27</v>
      </c>
      <c r="C40" s="51">
        <f>VLOOKUP($C$32&amp;"-"&amp;B40,Planilha2!$A:$D,4,0)</f>
        <v>0.1</v>
      </c>
      <c r="D40" s="52">
        <f>C40*$C$33</f>
        <v>20</v>
      </c>
    </row>
    <row r="41" spans="2:4" x14ac:dyDescent="0.25">
      <c r="B41" s="3" t="s">
        <v>29</v>
      </c>
      <c r="C41" s="51">
        <f>VLOOKUP($C$32&amp;"-"&amp;B41,Planilha2!$A:$D,4,0)</f>
        <v>0.1</v>
      </c>
      <c r="D41" s="52">
        <f>C41*$C$33</f>
        <v>20</v>
      </c>
    </row>
    <row r="42" spans="2:4" x14ac:dyDescent="0.25">
      <c r="B42" s="49"/>
      <c r="C42" s="49"/>
      <c r="D42" s="50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</sheetData>
  <mergeCells count="11">
    <mergeCell ref="B23:C23"/>
    <mergeCell ref="B17:C17"/>
    <mergeCell ref="B18:C18"/>
    <mergeCell ref="B19:C19"/>
    <mergeCell ref="B20:C20"/>
    <mergeCell ref="B21:C21"/>
    <mergeCell ref="B12:C12"/>
    <mergeCell ref="B13:C13"/>
    <mergeCell ref="B14:C14"/>
    <mergeCell ref="B11:D11"/>
    <mergeCell ref="B16:C16"/>
  </mergeCells>
  <dataValidations count="1">
    <dataValidation type="list" allowBlank="1" showInputMessage="1" showErrorMessage="1" sqref="C32" xr:uid="{B8021A52-FFB1-436F-8F22-D3C300F1B99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14A2-4623-4606-8261-4423D5A9E17D}">
  <dimension ref="A2:H20"/>
  <sheetViews>
    <sheetView workbookViewId="0">
      <selection activeCell="A2" sqref="A2:D2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2" spans="1:8" x14ac:dyDescent="0.25">
      <c r="A2" s="57" t="s">
        <v>32</v>
      </c>
      <c r="B2" s="57" t="s">
        <v>30</v>
      </c>
      <c r="C2" s="58" t="s">
        <v>21</v>
      </c>
      <c r="D2" s="58" t="s">
        <v>31</v>
      </c>
    </row>
    <row r="3" spans="1:8" x14ac:dyDescent="0.25">
      <c r="A3" t="str">
        <f>B3&amp;"-"&amp;C3</f>
        <v>Conservador-PAPEL</v>
      </c>
      <c r="B3" t="s">
        <v>19</v>
      </c>
      <c r="C3" s="3" t="s">
        <v>24</v>
      </c>
      <c r="D3" s="51">
        <v>0.3</v>
      </c>
      <c r="H3" s="3" t="s">
        <v>31</v>
      </c>
    </row>
    <row r="4" spans="1:8" x14ac:dyDescent="0.25">
      <c r="A4" t="str">
        <f t="shared" ref="A4:A20" si="0">B4&amp;"-"&amp;C4</f>
        <v>Conservador-TIJOLO</v>
      </c>
      <c r="B4" t="s">
        <v>19</v>
      </c>
      <c r="C4" s="3" t="s">
        <v>25</v>
      </c>
      <c r="D4" s="51">
        <v>0.5</v>
      </c>
      <c r="G4" s="45" t="s">
        <v>34</v>
      </c>
      <c r="H4" s="56">
        <f>VLOOKUP(G4,$A:$D,4,0)</f>
        <v>0.35</v>
      </c>
    </row>
    <row r="5" spans="1:8" x14ac:dyDescent="0.25">
      <c r="A5" t="str">
        <f t="shared" si="0"/>
        <v>Conservador-HÍBRIDOS</v>
      </c>
      <c r="B5" t="s">
        <v>19</v>
      </c>
      <c r="C5" s="3" t="s">
        <v>28</v>
      </c>
      <c r="D5" s="51">
        <v>0.1</v>
      </c>
    </row>
    <row r="6" spans="1:8" x14ac:dyDescent="0.25">
      <c r="A6" t="str">
        <f t="shared" si="0"/>
        <v>Conservador-FOFs</v>
      </c>
      <c r="B6" t="s">
        <v>19</v>
      </c>
      <c r="C6" s="3" t="s">
        <v>26</v>
      </c>
      <c r="D6" s="51">
        <v>0.1</v>
      </c>
    </row>
    <row r="7" spans="1:8" x14ac:dyDescent="0.25">
      <c r="A7" t="str">
        <f t="shared" si="0"/>
        <v>Conservador-DESENVOLVIMENTO</v>
      </c>
      <c r="B7" t="s">
        <v>19</v>
      </c>
      <c r="C7" s="3" t="s">
        <v>27</v>
      </c>
      <c r="D7" s="51">
        <v>0</v>
      </c>
    </row>
    <row r="8" spans="1:8" ht="15.75" thickBot="1" x14ac:dyDescent="0.3">
      <c r="A8" s="53" t="str">
        <f t="shared" si="0"/>
        <v>Conservador-HOTELARIAS</v>
      </c>
      <c r="B8" s="53" t="s">
        <v>19</v>
      </c>
      <c r="C8" s="54" t="s">
        <v>29</v>
      </c>
      <c r="D8" s="55">
        <v>0</v>
      </c>
    </row>
    <row r="9" spans="1:8" x14ac:dyDescent="0.25">
      <c r="A9" t="str">
        <f t="shared" si="0"/>
        <v>Moderado-PAPEL</v>
      </c>
      <c r="B9" t="s">
        <v>18</v>
      </c>
      <c r="C9" s="3" t="s">
        <v>24</v>
      </c>
      <c r="D9" s="51">
        <v>0.32</v>
      </c>
    </row>
    <row r="10" spans="1:8" x14ac:dyDescent="0.25">
      <c r="A10" t="str">
        <f t="shared" si="0"/>
        <v>Moderado-TIJOLO</v>
      </c>
      <c r="B10" t="s">
        <v>18</v>
      </c>
      <c r="C10" s="3" t="s">
        <v>25</v>
      </c>
      <c r="D10" s="51">
        <v>0.35</v>
      </c>
    </row>
    <row r="11" spans="1:8" x14ac:dyDescent="0.25">
      <c r="A11" t="str">
        <f t="shared" si="0"/>
        <v>Moderado-HÍBRIDOS</v>
      </c>
      <c r="B11" t="s">
        <v>18</v>
      </c>
      <c r="C11" s="3" t="s">
        <v>28</v>
      </c>
      <c r="D11" s="51">
        <v>0.08</v>
      </c>
    </row>
    <row r="12" spans="1:8" x14ac:dyDescent="0.25">
      <c r="A12" t="str">
        <f t="shared" si="0"/>
        <v>Moderado-FOFs</v>
      </c>
      <c r="B12" t="s">
        <v>18</v>
      </c>
      <c r="C12" s="3" t="s">
        <v>26</v>
      </c>
      <c r="D12" s="51">
        <v>0.05</v>
      </c>
    </row>
    <row r="13" spans="1:8" x14ac:dyDescent="0.25">
      <c r="A13" t="str">
        <f t="shared" si="0"/>
        <v>Moderado-DESENVOLVIMENTO</v>
      </c>
      <c r="B13" t="s">
        <v>18</v>
      </c>
      <c r="C13" s="3" t="s">
        <v>27</v>
      </c>
      <c r="D13" s="51">
        <v>0.1</v>
      </c>
    </row>
    <row r="14" spans="1:8" ht="15.75" thickBot="1" x14ac:dyDescent="0.3">
      <c r="A14" s="53" t="str">
        <f t="shared" si="0"/>
        <v>Moderado-HOTELARIAS</v>
      </c>
      <c r="B14" s="53" t="s">
        <v>18</v>
      </c>
      <c r="C14" s="54" t="s">
        <v>29</v>
      </c>
      <c r="D14" s="55">
        <v>0.1</v>
      </c>
    </row>
    <row r="15" spans="1:8" x14ac:dyDescent="0.25">
      <c r="A15" t="str">
        <f t="shared" si="0"/>
        <v>Agressivo-PAPEL</v>
      </c>
      <c r="B15" t="s">
        <v>33</v>
      </c>
      <c r="C15" s="3" t="s">
        <v>24</v>
      </c>
      <c r="D15" s="51">
        <v>0.5</v>
      </c>
    </row>
    <row r="16" spans="1:8" x14ac:dyDescent="0.25">
      <c r="A16" t="str">
        <f t="shared" si="0"/>
        <v>Agressivo-TIJOLO</v>
      </c>
      <c r="B16" t="s">
        <v>33</v>
      </c>
      <c r="C16" s="3" t="s">
        <v>25</v>
      </c>
      <c r="D16" s="51">
        <v>0.1</v>
      </c>
    </row>
    <row r="17" spans="1:4" x14ac:dyDescent="0.25">
      <c r="A17" t="str">
        <f t="shared" si="0"/>
        <v>Agressivo-HÍBRIDOS</v>
      </c>
      <c r="B17" t="s">
        <v>33</v>
      </c>
      <c r="C17" s="3" t="s">
        <v>28</v>
      </c>
      <c r="D17" s="51">
        <v>0.05</v>
      </c>
    </row>
    <row r="18" spans="1:4" x14ac:dyDescent="0.25">
      <c r="A18" t="str">
        <f t="shared" si="0"/>
        <v>Agressivo-FOFs</v>
      </c>
      <c r="B18" t="s">
        <v>33</v>
      </c>
      <c r="C18" s="3" t="s">
        <v>26</v>
      </c>
      <c r="D18" s="51">
        <v>0.05</v>
      </c>
    </row>
    <row r="19" spans="1:4" x14ac:dyDescent="0.25">
      <c r="A19" t="str">
        <f t="shared" si="0"/>
        <v>Agressivo-DESENVOLVIMENTO</v>
      </c>
      <c r="B19" t="s">
        <v>33</v>
      </c>
      <c r="C19" s="3" t="s">
        <v>27</v>
      </c>
      <c r="D19" s="51">
        <v>0.2</v>
      </c>
    </row>
    <row r="20" spans="1:4" ht="15.75" thickBot="1" x14ac:dyDescent="0.3">
      <c r="A20" s="53" t="str">
        <f t="shared" si="0"/>
        <v>Agressivo-HOTELARIAS</v>
      </c>
      <c r="B20" s="53" t="s">
        <v>33</v>
      </c>
      <c r="C20" s="54" t="s">
        <v>29</v>
      </c>
      <c r="D20" s="5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Xavier</dc:creator>
  <cp:lastModifiedBy>Arthur Xavier</cp:lastModifiedBy>
  <dcterms:created xsi:type="dcterms:W3CDTF">2025-10-24T20:02:10Z</dcterms:created>
  <dcterms:modified xsi:type="dcterms:W3CDTF">2025-12-10T23:14:54Z</dcterms:modified>
</cp:coreProperties>
</file>